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omments1.xml" ContentType="application/vnd.openxmlformats-officedocument.spreadsheetml.comment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326"/>
  <workbookPr/>
  <mc:AlternateContent xmlns:mc="http://schemas.openxmlformats.org/markup-compatibility/2006">
    <mc:Choice Requires="x15">
      <x15ac:absPath xmlns:x15ac="http://schemas.microsoft.com/office/spreadsheetml/2010/11/ac" url="D:\codeLabPraveen\own\program\python\prj\CAP776\data\"/>
    </mc:Choice>
  </mc:AlternateContent>
  <xr:revisionPtr revIDLastSave="0" documentId="13_ncr:1_{1453FE03-B288-43FB-AD52-C1470D15395F}" xr6:coauthVersionLast="47" xr6:coauthVersionMax="47" xr10:uidLastSave="{00000000-0000-0000-0000-000000000000}"/>
  <bookViews>
    <workbookView xWindow="-108" yWindow="-108" windowWidth="23256" windowHeight="12456" tabRatio="500" xr2:uid="{00000000-000D-0000-FFFF-FFFF00000000}"/>
  </bookViews>
  <sheets>
    <sheet name="Activity Log" sheetId="1" r:id="rId1"/>
    <sheet name="Lists" sheetId="2" r:id="rId2"/>
  </sheets>
  <calcPr calcId="191029" iterateDelta="1E-4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  <ext xmlns:loext="http://schemas.libreoffice.org/" uri="{7626C862-2A13-11E5-B345-FEFF819CDC9F}">
      <loext:extCalcPr stringRefSyntax="ExcelA1"/>
    </ext>
  </extLst>
</workbook>
</file>

<file path=xl/calcChain.xml><?xml version="1.0" encoding="utf-8"?>
<calcChain xmlns="http://schemas.openxmlformats.org/spreadsheetml/2006/main">
  <c r="J14" i="1" l="1"/>
  <c r="J15" i="1"/>
  <c r="J16" i="1"/>
  <c r="J17" i="1"/>
  <c r="J18" i="1"/>
  <c r="J19" i="1"/>
  <c r="J20" i="1"/>
  <c r="J21" i="1"/>
  <c r="J22" i="1"/>
  <c r="J23" i="1"/>
  <c r="J24" i="1"/>
  <c r="J25" i="1"/>
  <c r="J26" i="1"/>
  <c r="J27" i="1"/>
  <c r="J28" i="1"/>
  <c r="J29" i="1"/>
  <c r="J31" i="1"/>
  <c r="J32" i="1"/>
  <c r="J33" i="1"/>
  <c r="I14" i="1"/>
  <c r="I15" i="1"/>
  <c r="I16" i="1"/>
  <c r="I17" i="1"/>
  <c r="I18" i="1"/>
  <c r="I19" i="1"/>
  <c r="I20" i="1"/>
  <c r="I21" i="1"/>
  <c r="I22" i="1"/>
  <c r="I23" i="1"/>
  <c r="I24" i="1"/>
  <c r="I25" i="1"/>
  <c r="I26" i="1"/>
  <c r="I27" i="1"/>
  <c r="I28" i="1"/>
  <c r="I29" i="1"/>
  <c r="I30" i="1"/>
  <c r="J30" i="1" s="1"/>
  <c r="I31" i="1"/>
  <c r="I32" i="1"/>
  <c r="I33" i="1"/>
  <c r="I34" i="1"/>
  <c r="J34" i="1" s="1"/>
  <c r="I35" i="1"/>
  <c r="J35" i="1" s="1"/>
  <c r="I36" i="1"/>
  <c r="J36" i="1" s="1"/>
  <c r="I37" i="1"/>
  <c r="J37" i="1" s="1"/>
  <c r="I38" i="1"/>
  <c r="J38" i="1" s="1"/>
  <c r="I39" i="1"/>
  <c r="J39" i="1" s="1"/>
  <c r="I40" i="1"/>
  <c r="J40" i="1" s="1"/>
  <c r="I41" i="1"/>
  <c r="J41" i="1" s="1"/>
  <c r="I42" i="1"/>
  <c r="J42" i="1" s="1"/>
  <c r="I43" i="1"/>
  <c r="J43" i="1" s="1"/>
  <c r="I44" i="1"/>
  <c r="J44" i="1" s="1"/>
  <c r="I45" i="1"/>
  <c r="J45" i="1" s="1"/>
  <c r="I13" i="1"/>
  <c r="J13" i="1" s="1"/>
  <c r="I7" i="1"/>
  <c r="J7" i="1" s="1"/>
  <c r="I8" i="1"/>
  <c r="J8" i="1" s="1"/>
  <c r="I9" i="1"/>
  <c r="J9" i="1" s="1"/>
  <c r="I10" i="1"/>
  <c r="J10" i="1" s="1"/>
  <c r="I11" i="1"/>
  <c r="J11" i="1" s="1"/>
  <c r="I12" i="1"/>
  <c r="J12" i="1" s="1"/>
  <c r="I6" i="1"/>
  <c r="J6" i="1" s="1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Unknown Author</author>
  </authors>
  <commentList>
    <comment ref="B3" authorId="0" shapeId="0" xr:uid="{00000000-0006-0000-0000-000001000000}">
      <text>
        <r>
          <rPr>
            <sz val="10"/>
            <rFont val="Arial"/>
            <family val="2"/>
          </rPr>
          <t>Add your section after MCA, e.g. 'MCA / K26XX'.</t>
        </r>
      </text>
    </comment>
  </commentList>
</comments>
</file>

<file path=xl/sharedStrings.xml><?xml version="1.0" encoding="utf-8"?>
<sst xmlns="http://schemas.openxmlformats.org/spreadsheetml/2006/main" count="75" uniqueCount="42">
  <si>
    <t>My Data, My Story</t>
  </si>
  <si>
    <t>Name:</t>
  </si>
  <si>
    <t>Praveen Yadav</t>
  </si>
  <si>
    <t>Registration:</t>
  </si>
  <si>
    <t>Course / Sec:</t>
  </si>
  <si>
    <t>Date</t>
  </si>
  <si>
    <t>Sleep (min)</t>
  </si>
  <si>
    <t>Fitness (min)</t>
  </si>
  <si>
    <t>Study (min)</t>
  </si>
  <si>
    <t>Coding (min)</t>
  </si>
  <si>
    <t>Class (min)</t>
  </si>
  <si>
    <t>Classes Attended</t>
  </si>
  <si>
    <t>Other Activities (min)</t>
  </si>
  <si>
    <t>Total Tracked (min)</t>
  </si>
  <si>
    <t>Free/Unaccounted (min)</t>
  </si>
  <si>
    <t>Day's Feeling</t>
  </si>
  <si>
    <t>Satisfaction Level</t>
  </si>
  <si>
    <t>Energy Level</t>
  </si>
  <si>
    <t>Notes</t>
  </si>
  <si>
    <t>Feeling</t>
  </si>
  <si>
    <t>Score</t>
  </si>
  <si>
    <t>Satisfaction</t>
  </si>
  <si>
    <t>Energy</t>
  </si>
  <si>
    <t>Excellent</t>
  </si>
  <si>
    <t>Very Satisfied</t>
  </si>
  <si>
    <t>High</t>
  </si>
  <si>
    <t>Good</t>
  </si>
  <si>
    <t>Satisfied</t>
  </si>
  <si>
    <t>Medium</t>
  </si>
  <si>
    <t>Okay</t>
  </si>
  <si>
    <t>Neutral</t>
  </si>
  <si>
    <t>Low</t>
  </si>
  <si>
    <t>Dissatisfied</t>
  </si>
  <si>
    <t>Very Low</t>
  </si>
  <si>
    <t>Very Dissatisfied</t>
  </si>
  <si>
    <t>MCA - D1P2633</t>
  </si>
  <si>
    <t>Practicals and focused study</t>
  </si>
  <si>
    <t>Balanced</t>
  </si>
  <si>
    <t>Project work and revision</t>
  </si>
  <si>
    <t>Rest, notes and planning</t>
  </si>
  <si>
    <t>Balanced day with practicals</t>
  </si>
  <si>
    <t>Steady progress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</si>
</sst>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yyyy\-mm\-dd"/>
  </numFmts>
  <fonts count="8" x14ac:knownFonts="1">
    <font>
      <sz val="11"/>
      <color theme="1"/>
      <name val="Calibri"/>
      <family val="2"/>
      <charset val="1"/>
    </font>
    <font>
      <b/>
      <sz val="11"/>
      <name val="Arial"/>
      <charset val="1"/>
    </font>
    <font>
      <sz val="11"/>
      <name val="Arial"/>
      <charset val="1"/>
    </font>
    <font>
      <i/>
      <sz val="9"/>
      <name val="Arial"/>
      <charset val="1"/>
    </font>
    <font>
      <b/>
      <sz val="11"/>
      <color rgb="FFFFFFFF"/>
      <name val="Arial"/>
      <charset val="1"/>
    </font>
    <font>
      <sz val="10"/>
      <name val="Arial"/>
      <family val="2"/>
    </font>
    <font>
      <b/>
      <sz val="28"/>
      <color rgb="FF1F4E79"/>
      <name val="Arial"/>
      <family val="2"/>
    </font>
    <font>
      <sz val="11"/>
      <name val="Arial"/>
      <family val="2"/>
    </font>
  </fonts>
  <fills count="5">
    <fill>
      <patternFill patternType="none"/>
    </fill>
    <fill>
      <patternFill patternType="gray125"/>
    </fill>
    <fill>
      <patternFill patternType="solid">
        <fgColor rgb="FFFFF2CC"/>
        <bgColor rgb="FFE7E6E6"/>
      </patternFill>
    </fill>
    <fill>
      <patternFill patternType="solid">
        <fgColor rgb="FF1F4E79"/>
        <bgColor rgb="FF003366"/>
      </patternFill>
    </fill>
    <fill>
      <patternFill patternType="solid">
        <fgColor rgb="FFE7E6E6"/>
        <bgColor rgb="FFFFF2CC"/>
      </patternFill>
    </fill>
  </fills>
  <borders count="4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  <border>
      <left style="thin">
        <color rgb="FFBFBFBF"/>
      </left>
      <right style="thin">
        <color rgb="FFBFBFBF"/>
      </right>
      <top/>
      <bottom style="thin">
        <color rgb="FFBFBFBF"/>
      </bottom>
      <diagonal/>
    </border>
    <border>
      <left/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0" borderId="0" xfId="0" applyFont="1"/>
    <xf numFmtId="0" fontId="4" fillId="3" borderId="1" xfId="0" applyFont="1" applyFill="1" applyBorder="1" applyAlignment="1">
      <alignment horizontal="center" vertical="center" wrapText="1"/>
    </xf>
    <xf numFmtId="164" fontId="2" fillId="4" borderId="1" xfId="0" applyNumberFormat="1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4" borderId="1" xfId="0" applyFont="1" applyFill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 wrapText="1"/>
    </xf>
    <xf numFmtId="0" fontId="4" fillId="3" borderId="0" xfId="0" applyFont="1" applyFill="1"/>
    <xf numFmtId="0" fontId="2" fillId="0" borderId="0" xfId="0" applyFont="1"/>
    <xf numFmtId="0" fontId="4" fillId="3" borderId="2" xfId="0" applyFont="1" applyFill="1" applyBorder="1" applyAlignment="1">
      <alignment horizontal="center" vertical="center" wrapText="1"/>
    </xf>
    <xf numFmtId="0" fontId="1" fillId="0" borderId="0" xfId="0" applyFont="1"/>
    <xf numFmtId="0" fontId="2" fillId="2" borderId="0" xfId="0" applyFont="1" applyFill="1"/>
    <xf numFmtId="0" fontId="7" fillId="2" borderId="0" xfId="0" applyFont="1" applyFill="1"/>
    <xf numFmtId="0" fontId="2" fillId="2" borderId="3" xfId="0" applyFont="1" applyFill="1" applyBorder="1" applyAlignment="1">
      <alignment horizontal="center" vertical="center"/>
    </xf>
    <xf numFmtId="0" fontId="6" fillId="0" borderId="0" xfId="0" applyFont="1" applyAlignment="1">
      <alignment horizontal="center" vertical="center"/>
    </xf>
  </cellXfs>
  <cellStyles count="1">
    <cellStyle name="Normal" xfId="0" builtinId="0"/>
  </cellStyles>
  <dxfs count="1">
    <dxf>
      <font>
        <b/>
        <color rgb="FFC00000"/>
        <name val="Arial"/>
        <charset val="1"/>
      </font>
      <fill>
        <patternFill>
          <bgColor rgb="FFF8CBAD"/>
        </patternFill>
      </fill>
    </dxf>
  </dxfs>
  <tableStyles count="0" defaultTableStyle="TableStyleMedium2" defaultPivotStyle="PivotStyleLight16"/>
  <colors>
    <indexedColors>
      <rgbColor rgb="FF000000"/>
      <rgbColor rgb="FFFFFFFF"/>
      <rgbColor rgb="FFC00000"/>
      <rgbColor rgb="FF00FF00"/>
      <rgbColor rgb="FF0000FF"/>
      <rgbColor rgb="FFFFFF00"/>
      <rgbColor rgb="FFFF00FF"/>
      <rgbColor rgb="FF00FFFF"/>
      <rgbColor rgb="FF800000"/>
      <rgbColor rgb="FF008000"/>
      <rgbColor rgb="FF000080"/>
      <rgbColor rgb="FF808000"/>
      <rgbColor rgb="FF800080"/>
      <rgbColor rgb="FF008080"/>
      <rgbColor rgb="FFBFBFBF"/>
      <rgbColor rgb="FF808080"/>
      <rgbColor rgb="FF9999FF"/>
      <rgbColor rgb="FF993366"/>
      <rgbColor rgb="FFFFF2CC"/>
      <rgbColor rgb="FFE7E6E6"/>
      <rgbColor rgb="FF660066"/>
      <rgbColor rgb="FFFF8080"/>
      <rgbColor rgb="FF0066CC"/>
      <rgbColor rgb="FFCCCCFF"/>
      <rgbColor rgb="FF000080"/>
      <rgbColor rgb="FFFF00FF"/>
      <rgbColor rgb="FFFFFF00"/>
      <rgbColor rgb="FF00FFFF"/>
      <rgbColor rgb="FF800080"/>
      <rgbColor rgb="FF800000"/>
      <rgbColor rgb="FF008080"/>
      <rgbColor rgb="FF0000FF"/>
      <rgbColor rgb="FF00CCFF"/>
      <rgbColor rgb="FFCCFFFF"/>
      <rgbColor rgb="FFCCFFCC"/>
      <rgbColor rgb="FFFFFF99"/>
      <rgbColor rgb="FF99CCFF"/>
      <rgbColor rgb="FFFF99CC"/>
      <rgbColor rgb="FFCC99FF"/>
      <rgbColor rgb="FFF8CBAD"/>
      <rgbColor rgb="FF3366FF"/>
      <rgbColor rgb="FF33CCCC"/>
      <rgbColor rgb="FF99CC00"/>
      <rgbColor rgb="FFFFCC00"/>
      <rgbColor rgb="FFFF9900"/>
      <rgbColor rgb="FFFF6600"/>
      <rgbColor rgb="FF666699"/>
      <rgbColor rgb="FF969696"/>
      <rgbColor rgb="FF003366"/>
      <rgbColor rgb="FF339966"/>
      <rgbColor rgb="FF003300"/>
      <rgbColor rgb="FF333300"/>
      <rgbColor rgb="FF993300"/>
      <rgbColor rgb="FF993366"/>
      <rgbColor rgb="FF1F4E79"/>
      <rgbColor rgb="FF333333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rgbClr val="000000"/>
      </a:dk1>
      <a:lt1>
        <a:srgbClr val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</a:majorFont>
      <a:minorFont>
        <a:latin typeface="Calibri"/>
        <a:ea typeface=""/>
        <a:cs typeface=""/>
      </a:minorFont>
    </a:fontScheme>
    <a:fmtScheme>
      <a:fillStyleLst>
        <a:solidFill>
          <a:schemeClr val="phClr"/>
        </a:solidFill>
        <a:gradFill>
          <a:gsLst>
            <a:gs pos="0">
              <a:schemeClr val="phClr">
                <a:tint val="50000"/>
              </a:schemeClr>
            </a:gs>
            <a:gs pos="35000">
              <a:schemeClr val="phClr">
                <a:tint val="37000"/>
              </a:schemeClr>
            </a:gs>
            <a:gs pos="100000">
              <a:schemeClr val="phClr">
                <a:tint val="15000"/>
              </a:schemeClr>
            </a:gs>
          </a:gsLst>
          <a:lin ang="16200000" scaled="1"/>
          <a:tileRect/>
        </a:gradFill>
        <a:gradFill>
          <a:gsLst>
            <a:gs pos="0">
              <a:schemeClr val="phClr">
                <a:shade val="51000"/>
              </a:schemeClr>
            </a:gs>
            <a:gs pos="80000">
              <a:schemeClr val="phClr">
                <a:shade val="93000"/>
              </a:schemeClr>
            </a:gs>
            <a:gs pos="100000">
              <a:schemeClr val="phClr">
                <a:shade val="94000"/>
              </a:schemeClr>
            </a:gs>
          </a:gsLst>
          <a:lin ang="16200000" scaled="0"/>
          <a:tileRect/>
        </a:gradFill>
      </a:fillStyleLst>
      <a:lnStyleLst>
        <a:ln w="9525" cap="flat" cmpd="sng" algn="ctr">
          <a:prstDash val="solid"/>
        </a:ln>
        <a:ln w="25400" cap="flat" cmpd="sng" algn="ctr">
          <a:prstDash val="solid"/>
        </a:ln>
        <a:ln w="38100" cap="flat" cmpd="sng" algn="ctr"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/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</a:schemeClr>
            </a:gs>
            <a:gs pos="40000">
              <a:schemeClr val="phClr">
                <a:tint val="45000"/>
                <a:shade val="99000"/>
              </a:schemeClr>
            </a:gs>
            <a:gs pos="100000">
              <a:schemeClr val="phClr">
                <a:shade val="20000"/>
              </a:schemeClr>
            </a:gs>
          </a:gsLst>
          <a:path path="circle">
            <a:fillToRect l="50000" t="-80000" r="50000" b="180000"/>
          </a:path>
          <a:tileRect/>
        </a:gradFill>
        <a:gradFill>
          <a:gsLst>
            <a:gs pos="0">
              <a:schemeClr val="phClr">
                <a:tint val="80000"/>
              </a:schemeClr>
            </a:gs>
            <a:gs pos="100000">
              <a:schemeClr val="phClr">
                <a:shade val="30000"/>
              </a:schemeClr>
            </a:gs>
          </a:gsLst>
          <a:path path="circle">
            <a:fillToRect l="50000" t="50000" r="50000" b="50000"/>
          </a:path>
          <a:tileRect/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sheet1.xml><?xml version="1.0" encoding="utf-8"?>
<ns0:worksheet xmlns:ns0="http://schemas.openxmlformats.org/spreadsheetml/2006/main" xmlns:ns1="http://schemas.openxmlformats.org/markup-compatibility/2006" xmlns:ns2="http://schemas.microsoft.com/office/spreadsheetml/2014/revision" xmlns:ns3="http://schemas.microsoft.com/office/spreadsheetml/2009/9/ac" xmlns:ns4="http://schemas.openxmlformats.org/officeDocument/2006/relationships" xmlns:ns5="http://schemas.microsoft.com/office/spreadsheetml/2009/9/main" xmlns:ns6="http://schemas.microsoft.com/office/excel/2006/main" ns1:Ignorable="x14ac xr xr2 xr3" ns2:uid="{00000000-0001-0000-0000-000000000000}">
  <ns0:dimension ref="A1:N45"/>
  <ns0:sheetViews>
    <ns0:sheetView tabSelected="1" zoomScaleNormal="100" workbookViewId="0">
      <ns0:pane xSplit="1" ySplit="5" topLeftCell="B9" activePane="bottomRight" state="frozen"/>
      <ns0:selection pane="topRight" activeCell="B1" sqref="B1"/>
      <ns0:selection pane="bottomLeft" activeCell="A6" sqref="A6"/>
      <ns0:selection pane="bottomRight" activeCell="B15" sqref="B15"/>
    </ns0:sheetView>
  </ns0:sheetViews>
  <ns0:sheetFormatPr defaultColWidth="8.6640625" defaultRowHeight="14.4" ns3:dyDescent="0.3"/>
  <ns0:cols>
    <ns0:col min="1" max="1" width="14.21875" bestFit="1" customWidth="1"/>
    <ns0:col min="2" max="2" width="16.6640625" customWidth="1"/>
    <ns0:col min="3" max="4" width="11" customWidth="1"/>
    <ns0:col min="5" max="5" width="13.6640625" bestFit="1" customWidth="1"/>
    <ns0:col min="6" max="7" width="11" customWidth="1"/>
    <ns0:col min="8" max="8" width="14" customWidth="1"/>
    <ns0:col min="9" max="9" width="12.109375" customWidth="1"/>
    <ns0:col min="10" max="10" width="14.5546875" bestFit="1" customWidth="1"/>
    <ns0:col min="11" max="11" width="15" customWidth="1"/>
    <ns0:col min="12" max="12" width="17" customWidth="1"/>
    <ns0:col min="13" max="13" width="12" customWidth="1"/>
    <ns0:col min="14" max="14" width="33.44140625" customWidth="1"/>
  </ns0:cols>
  <ns0:sheetData>
    <ns0:row r="1" spans="1:14" ht="40.200000000000003" customHeight="1" ns3:dyDescent="0.3">
      <ns0:c r="A1" s="14" t="s">
        <ns0:v>0</ns0:v>
      </ns0:c>
      <ns0:c r="B1" s="14"/>
      <ns0:c r="C1" s="14"/>
      <ns0:c r="D1" s="14"/>
      <ns0:c r="E1" s="14"/>
      <ns0:c r="F1" s="14"/>
      <ns0:c r="G1" s="14"/>
      <ns0:c r="H1" s="14"/>
      <ns0:c r="I1" s="14"/>
      <ns0:c r="J1" s="14"/>
      <ns0:c r="K1" s="14"/>
      <ns0:c r="L1" s="14"/>
      <ns0:c r="M1" s="14"/>
      <ns0:c r="N1" s="14"/>
    </ns0:row>
    <ns0:row r="2" spans="1:14" ns3:dyDescent="0.3">
      <ns0:c r="A2" s="10" t="s">
        <ns0:v>1</ns0:v>
      </ns0:c>
      <ns0:c r="B2" s="11" t="inlineStr">
        <ns0:is>
          <ns0:t>Abhishek Kumar Vishwakarma</ns0:t>
        </ns0:is>
      </ns0:c>
      <ns0:c r="E2" s="10" t="s">
        <ns0:v>3</ns0:v>
      </ns0:c>
      <ns0:c r="F2" s="11">
        <ns0:v>12617525</ns0:v>
      </ns0:c>
    </ns0:row>
    <ns0:row r="3" spans="1:14" ns3:dyDescent="0.3">
      <ns0:c r="A3" s="10" t="s">
        <ns0:v>4</ns0:v>
      </ns0:c>
      <ns0:c r="B3" s="12" t="s">
        <ns0:v>35</ns0:v>
      </ns0:c>
    </ns0:row>
    <ns0:row r="4" spans="1:14" ns3:dyDescent="0.3">
      <ns0:c r="A4" s="1"/>
    </ns0:row>
    <ns0:row r="5" spans="1:14" ht="61.2" customHeight="1" ns3:dyDescent="0.3">
      <ns0:c r="A5" s="9" t="s">
        <ns0:v>5</ns0:v>
      </ns0:c>
      <ns0:c r="B5" s="9" t="s">
        <ns0:v>6</ns0:v>
      </ns0:c>
      <ns0:c r="C5" s="9" t="s">
        <ns0:v>7</ns0:v>
      </ns0:c>
      <ns0:c r="D5" s="9" t="s">
        <ns0:v>8</ns0:v>
      </ns0:c>
      <ns0:c r="E5" s="9" t="s">
        <ns0:v>9</ns0:v>
      </ns0:c>
      <ns0:c r="F5" s="9" t="s">
        <ns0:v>10</ns0:v>
      </ns0:c>
      <ns0:c r="G5" s="2" t="s">
        <ns0:v>11</ns0:v>
      </ns0:c>
      <ns0:c r="H5" s="2" t="s">
        <ns0:v>12</ns0:v>
      </ns0:c>
      <ns0:c r="I5" s="2" t="s">
        <ns0:v>13</ns0:v>
      </ns0:c>
      <ns0:c r="J5" s="2" t="s">
        <ns0:v>14</ns0:v>
      </ns0:c>
      <ns0:c r="K5" s="2" t="s">
        <ns0:v>15</ns0:v>
      </ns0:c>
      <ns0:c r="L5" s="2" t="s">
        <ns0:v>16</ns0:v>
      </ns0:c>
      <ns0:c r="M5" s="2" t="s">
        <ns0:v>17</ns0:v>
      </ns0:c>
      <ns0:c r="N5" s="2" t="s">
        <ns0:v>18</ns0:v>
      </ns0:c>
    </ns0:row>
    <ns0:row r="6" spans="1:14" ht="24" customHeight="1" ns3:dyDescent="0.3">
      <ns0:c r="A6" s="3">
        <ns0:v>46247</ns0:v>
      </ns0:c>
      <ns0:c r="B6" s="4">
        <ns0:v>560</ns0:v>
      </ns0:c>
      <ns0:c r="C6" s="4">
        <ns0:v>20</ns0:v>
      </ns0:c>
      <ns0:c r="D6" s="4">
        <ns0:v>70</ns0:v>
      </ns0:c>
      <ns0:c r="E6" s="4">
        <ns0:v>240</ns0:v>
      </ns0:c>
      <ns0:c r="F6" s="4">
        <ns0:v>300</ns0:v>
      </ns0:c>
      <ns0:c r="G6" s="4">
        <ns0:v>6</ns0:v>
      </ns0:c>
      <ns0:c r="H6" s="4">
        <ns0:v>240</ns0:v>
      </ns0:c>
      <ns0:c r="I6" s="5">
        <ns0:f>IF(COUNT(B6:F6,H6)&lt;6,"",SUM(B6:F6,H6))</ns0:f>
        <ns0:v>1430</ns0:v>
      </ns0:c>
      <ns0:c r="J6" s="5">
        <ns0:f>IF(I6="","",1440-I6)</ns0:f>
        <ns0:v>10</ns0:v>
      </ns0:c>
      <ns0:c r="K6" s="4" t="s">
        <ns0:v>26</ns0:v>
      </ns0:c>
      <ns0:c r="L6" s="4" t="s">
        <ns0:v>27</ns0:v>
      </ns0:c>
      <ns0:c r="M6" s="4" t="s">
        <ns0:v>25</ns0:v>
      </ns0:c>
      <ns0:c r="N6" s="4" t="s">
        <ns0:v>36</ns0:v>
      </ns0:c>
    </ns0:row>
    <ns0:row r="7" spans="1:14" ht="24" customHeight="1" ns3:dyDescent="0.3">
      <ns0:c r="A7" s="3">
        <ns0:v>46248</ns0:v>
      </ns0:c>
      <ns0:c r="B7" s="4">
        <ns0:v>530</ns0:v>
      </ns0:c>
      <ns0:c r="C7" s="4">
        <ns0:v>20</ns0:v>
      </ns0:c>
      <ns0:c r="D7" s="4">
        <ns0:v>100</ns0:v>
      </ns0:c>
      <ns0:c r="E7" s="4">
        <ns0:v>260</ns0:v>
      </ns0:c>
      <ns0:c r="F7" s="4">
        <ns0:v>250</ns0:v>
      </ns0:c>
      <ns0:c r="G7" s="4">
        <ns0:v>5</ns0:v>
      </ns0:c>
      <ns0:c r="H7" s="4">
        <ns0:v>240</ns0:v>
      </ns0:c>
      <ns0:c r="I7" s="5">
        <ns0:f t="shared" ref="I7:I12" si="0">IF(COUNT(B7:F7,H7)&lt;6,"",SUM(B7:F7,H7))</ns0:f>
        <ns0:v>1400</ns0:v>
      </ns0:c>
      <ns0:c r="J7" s="5">
        <ns0:f t="shared" ref="J7:J12" si="1">IF(I7="","",1440-I7)</ns0:f>
        <ns0:v>40</ns0:v>
      </ns0:c>
      <ns0:c r="K7" s="4" t="s">
        <ns0:v>23</ns0:v>
      </ns0:c>
      <ns0:c r="L7" s="4" t="s">
        <ns0:v>24</ns0:v>
      </ns0:c>
      <ns0:c r="M7" s="4" t="s">
        <ns0:v>25</ns0:v>
      </ns0:c>
      <ns0:c r="N7" s="4" t="s">
        <ns0:v>37</ns0:v>
      </ns0:c>
    </ns0:row>
    <ns0:row r="8" spans="1:14" ht="24" customHeight="1" ns3:dyDescent="0.3">
      <ns0:c r="A8" s="3">
        <ns0:v>46249</ns0:v>
      </ns0:c>
      <ns0:c r="B8" s="4">
        <ns0:v>520</ns0:v>
      </ns0:c>
      <ns0:c r="C8" s="4">
        <ns0:v>20</ns0:v>
      </ns0:c>
      <ns0:c r="D8" s="4">
        <ns0:v>170</ns0:v>
      </ns0:c>
      <ns0:c r="E8" s="4">
        <ns0:v>300</ns0:v>
      </ns0:c>
      <ns0:c r="F8" s="4">
        <ns0:v>100</ns0:v>
      </ns0:c>
      <ns0:c r="G8" s="4">
        <ns0:v>2</ns0:v>
      </ns0:c>
      <ns0:c r="H8" s="4">
        <ns0:v>240</ns0:v>
      </ns0:c>
      <ns0:c r="I8" s="5">
        <ns0:f t="shared" si="0"/>
        <ns0:v>1350</ns0:v>
      </ns0:c>
      <ns0:c r="J8" s="5">
        <ns0:f t="shared" si="1"/>
        <ns0:v>90</ns0:v>
      </ns0:c>
      <ns0:c r="K8" s="4" t="s">
        <ns0:v>23</ns0:v>
      </ns0:c>
      <ns0:c r="L8" s="4" t="s">
        <ns0:v>24</ns0:v>
      </ns0:c>
      <ns0:c r="M8" s="4" t="s">
        <ns0:v>25</ns0:v>
      </ns0:c>
      <ns0:c r="N8" s="4" t="s">
        <ns0:v>38</ns0:v>
      </ns0:c>
    </ns0:row>
    <ns0:row r="9" spans="1:14" ht="24" customHeight="1" ns3:dyDescent="0.3">
      <ns0:c r="A9" s="3">
        <ns0:v>46250</ns0:v>
      </ns0:c>
      <ns0:c r="B9" s="4">
        <ns0:v>560</ns0:v>
      </ns0:c>
      <ns0:c r="C9" s="4">
        <ns0:v>30</ns0:v>
      </ns0:c>
      <ns0:c r="D9" s="4">
        <ns0:v>130</ns0:v>
      </ns0:c>
      <ns0:c r="E9" s="4">
        <ns0:v>410</ns0:v>
      </ns0:c>
      <ns0:c r="F9" s="4">
        <ns0:v>0</ns0:v>
      </ns0:c>
      <ns0:c r="G9" s="4">
        <ns0:v>0</ns0:v>
      </ns0:c>
      <ns0:c r="H9" s="4">
        <ns0:v>280</ns0:v>
      </ns0:c>
      <ns0:c r="I9" s="5">
        <ns0:f t="shared" si="0"/>
        <ns0:v>1410</ns0:v>
      </ns0:c>
      <ns0:c r="J9" s="5">
        <ns0:f t="shared" si="1"/>
        <ns0:v>30</ns0:v>
      </ns0:c>
      <ns0:c r="K9" s="4" t="s">
        <ns0:v>23</ns0:v>
      </ns0:c>
      <ns0:c r="L9" s="4" t="s">
        <ns0:v>24</ns0:v>
      </ns0:c>
      <ns0:c r="M9" s="4" t="s">
        <ns0:v>28</ns0:v>
      </ns0:c>
      <ns0:c r="N9" s="4" t="s">
        <ns0:v>39</ns0:v>
      </ns0:c>
    </ns0:row>
    <ns0:row r="10" spans="1:14" ht="24" customHeight="1" ns3:dyDescent="0.3">
      <ns0:c r="A10" s="3">
        <ns0:v>46251</ns0:v>
      </ns0:c>
      <ns0:c r="B10" s="4">
        <ns0:v>560</ns0:v>
      </ns0:c>
      <ns0:c r="C10" s="4">
        <ns0:v>30</ns0:v>
      </ns0:c>
      <ns0:c r="D10" s="4">
        <ns0:v>180</ns0:v>
      </ns0:c>
      <ns0:c r="E10" s="4">
        <ns0:v>100</ns0:v>
      </ns0:c>
      <ns0:c r="F10" s="4">
        <ns0:v>250</ns0:v>
      </ns0:c>
      <ns0:c r="G10" s="4">
        <ns0:v>5</ns0:v>
      </ns0:c>
      <ns0:c r="H10" s="4">
        <ns0:v>240</ns0:v>
      </ns0:c>
      <ns0:c r="I10" s="5">
        <ns0:f t="shared" si="0"/>
        <ns0:v>1360</ns0:v>
      </ns0:c>
      <ns0:c r="J10" s="5">
        <ns0:f t="shared" si="1"/>
        <ns0:v>80</ns0:v>
      </ns0:c>
      <ns0:c r="K10" s="4" t="s">
        <ns0:v>29</ns0:v>
      </ns0:c>
      <ns0:c r="L10" s="4" t="s">
        <ns0:v>30</ns0:v>
      </ns0:c>
      <ns0:c r="M10" s="4" t="s">
        <ns0:v>28</ns0:v>
      </ns0:c>
      <ns0:c r="N10" s="4" t="s">
        <ns0:v>37</ns0:v>
      </ns0:c>
    </ns0:row>
    <ns0:row r="11" spans="1:14" ht="24" customHeight="1" ns3:dyDescent="0.3">
      <ns0:c r="A11" s="3">
        <ns0:v>46252</ns0:v>
      </ns0:c>
      <ns0:c r="B11" s="4">
        <ns0:v>520</ns0:v>
      </ns0:c>
      <ns0:c r="C11" s="4">
        <ns0:v>40</ns0:v>
      </ns0:c>
      <ns0:c r="D11" s="4">
        <ns0:v>110</ns0:v>
      </ns0:c>
      <ns0:c r="E11" s="4">
        <ns0:v>260</ns0:v>
      </ns0:c>
      <ns0:c r="F11" s="4">
        <ns0:v>250</ns0:v>
      </ns0:c>
      <ns0:c r="G11" s="4">
        <ns0:v>5</ns0:v>
      </ns0:c>
      <ns0:c r="H11" s="4">
        <ns0:v>260</ns0:v>
      </ns0:c>
      <ns0:c r="I11" s="5">
        <ns0:f t="shared" si="0"/>
        <ns0:v>1440</ns0:v>
      </ns0:c>
      <ns0:c r="J11" s="5">
        <ns0:f t="shared" si="1"/>
        <ns0:v>0</ns0:v>
      </ns0:c>
      <ns0:c r="K11" s="4" t="s">
        <ns0:v>26</ns0:v>
      </ns0:c>
      <ns0:c r="L11" s="4" t="s">
        <ns0:v>30</ns0:v>
      </ns0:c>
      <ns0:c r="M11" s="4" t="s">
        <ns0:v>28</ns0:v>
      </ns0:c>
      <ns0:c r="N11" s="4" t="s">
        <ns0:v>40</ns0:v>
      </ns0:c>
    </ns0:row>
    <ns0:row r="12" spans="1:14" ht="24" customHeight="1" ns3:dyDescent="0.3">
      <ns0:c r="A12" s="3">
        <ns0:v>46253</ns0:v>
      </ns0:c>
      <ns0:c r="B12" s="4">
        <ns0:v>610</ns0:v>
      </ns0:c>
      <ns0:c r="C12" s="4">
        <ns0:v>30</ns0:v>
      </ns0:c>
      <ns0:c r="D12" s="4">
        <ns0:v>130</ns0:v>
      </ns0:c>
      <ns0:c r="E12" s="4">
        <ns0:v>100</ns0:v>
      </ns0:c>
      <ns0:c r="F12" s="4">
        <ns0:v>250</ns0:v>
      </ns0:c>
      <ns0:c r="G12" s="4">
        <ns0:v>5</ns0:v>
      </ns0:c>
      <ns0:c r="H12" s="4">
        <ns0:v>220</ns0:v>
      </ns0:c>
      <ns0:c r="I12" s="5">
        <ns0:f t="shared" si="0"/>
        <ns0:v>1340</ns0:v>
      </ns0:c>
      <ns0:c r="J12" s="5">
        <ns0:f t="shared" si="1"/>
        <ns0:v>100</ns0:v>
      </ns0:c>
      <ns0:c r="K12" s="4" t="s">
        <ns0:v>26</ns0:v>
      </ns0:c>
      <ns0:c r="L12" s="4" t="s">
        <ns0:v>27</ns0:v>
      </ns0:c>
      <ns0:c r="M12" s="4" t="s">
        <ns0:v>28</ns0:v>
      </ns0:c>
      <ns0:c r="N12" s="4" t="s">
        <ns0:v>41</ns0:v>
      </ns0:c>
    </ns0:row>
    <ns0:row r="13" spans="1:14" ht="24" customHeight="1" ns3:dyDescent="0.3">
      <ns0:c r="A13" s="3">
        <ns0:v>46254</ns0:v>
      </ns0:c>
      <ns0:c r="B13" s="4">
        <ns0:v>510</ns0:v>
      </ns0:c>
      <ns0:c r="C13" s="4">
        <ns0:v>30</ns0:v>
      </ns0:c>
      <ns0:c r="D13" s="4">
        <ns0:v>80</ns0:v>
      </ns0:c>
      <ns0:c r="E13" s="4">
        <ns0:v>230</ns0:v>
      </ns0:c>
      <ns0:c r="F13" s="4">
        <ns0:v>300</ns0:v>
      </ns0:c>
      <ns0:c r="G13" s="4">
        <ns0:v>6</ns0:v>
      </ns0:c>
      <ns0:c r="H13" s="4">
        <ns0:v>220</ns0:v>
      </ns0:c>
      <ns0:c r="I13" s="5">
        <ns0:f t="shared" ref="I13:I45" si="2">IF(COUNT(B13:F13,H13)&lt;6,"",SUM(B13:F13,H13))</ns0:f>
        <ns0:v>1370</ns0:v>
      </ns0:c>
      <ns0:c r="J13" s="5">
        <ns0:f t="shared" ref="J13:J45" si="3">IF(I13="","",1440-I13)</ns0:f>
        <ns0:v>70</ns0:v>
      </ns0:c>
      <ns0:c r="K13" s="4" t="s">
        <ns0:v>26</ns0:v>
      </ns0:c>
      <ns0:c r="L13" s="4" t="s">
        <ns0:v>27</ns0:v>
      </ns0:c>
      <ns0:c r="M13" s="4" t="s">
        <ns0:v>25</ns0:v>
      </ns0:c>
      <ns0:c r="N13" s="4" t="s">
        <ns0:v>36</ns0:v>
      </ns0:c>
    </ns0:row>
    <ns0:row r="14" spans="1:14" ht="24" customHeight="1" ns3:dyDescent="0.3">
      <ns0:c r="A14" s="3">
        <ns0:v>46255</ns0:v>
      </ns0:c>
      <ns0:c r="B14" s="4">
        <ns0:v>560</ns0:v>
      </ns0:c>
      <ns0:c r="C14" s="4">
        <ns0:v>30</ns0:v>
      </ns0:c>
      <ns0:c r="D14" s="4">
        <ns0:v>140</ns0:v>
      </ns0:c>
      <ns0:c r="E14" s="4">
        <ns0:v>220</ns0:v>
      </ns0:c>
      <ns0:c r="F14" s="4">
        <ns0:v>250</ns0:v>
      </ns0:c>
      <ns0:c r="G14" s="4">
        <ns0:v>5</ns0:v>
      </ns0:c>
      <ns0:c r="H14" s="4">
        <ns0:v>240</ns0:v>
      </ns0:c>
      <ns0:c r="I14" s="5">
        <ns0:f t="shared" si="2"/>
        <ns0:v>1440</ns0:v>
      </ns0:c>
      <ns0:c r="J14" s="5">
        <ns0:f t="shared" si="3"/>
        <ns0:v>0</ns0:v>
      </ns0:c>
      <ns0:c r="K14" s="4" t="s">
        <ns0:v>29</ns0:v>
      </ns0:c>
      <ns0:c r="L14" s="4" t="s">
        <ns0:v>30</ns0:v>
      </ns0:c>
      <ns0:c r="M14" s="4" t="s">
        <ns0:v>28</ns0:v>
      </ns0:c>
      <ns0:c r="N14" s="4" t="s">
        <ns0:v>37</ns0:v>
      </ns0:c>
    </ns0:row>
    <ns0:row r="15" spans="1:14" ht="24" customHeight="1" ns3:dyDescent="0.3">
      <ns0:c r="A15" s="3">
        <ns0:v>46256</ns0:v>
      </ns0:c>
      <ns0:c r="B15" s="4"/>
      <ns0:c r="C15" s="13"/>
      <ns0:c r="D15" s="13"/>
      <ns0:c r="E15" s="13"/>
      <ns0:c r="F15" s="13"/>
      <ns0:c r="G15" s="13"/>
      <ns0:c r="H15" s="13"/>
      <ns0:c r="I15" s="5" t="str">
        <ns0:f t="shared" si="2"/>
        <ns0:v/>
      </ns0:c>
      <ns0:c r="J15" s="5" t="str">
        <ns0:f t="shared" si="3"/>
        <ns0:v/>
      </ns0:c>
      <ns0:c r="K15" s="4"/>
      <ns0:c r="L15" s="4"/>
      <ns0:c r="M15" s="4"/>
      <ns0:c r="N15" s="6"/>
    </ns0:row>
    <ns0:row r="16" spans="1:14" ht="24" customHeight="1" ns3:dyDescent="0.3">
      <ns0:c r="A16" s="3">
        <ns0:v>46257</ns0:v>
      </ns0:c>
      <ns0:c r="B16" s="4"/>
      <ns0:c r="C16" s="13"/>
      <ns0:c r="D16" s="13"/>
      <ns0:c r="E16" s="13"/>
      <ns0:c r="F16" s="13"/>
      <ns0:c r="G16" s="13"/>
      <ns0:c r="H16" s="13"/>
      <ns0:c r="I16" s="5" t="str">
        <ns0:f t="shared" si="2"/>
        <ns0:v/>
      </ns0:c>
      <ns0:c r="J16" s="5" t="str">
        <ns0:f t="shared" si="3"/>
        <ns0:v/>
      </ns0:c>
      <ns0:c r="K16" s="4"/>
      <ns0:c r="L16" s="4"/>
      <ns0:c r="M16" s="4"/>
      <ns0:c r="N16" s="6"/>
    </ns0:row>
    <ns0:row r="17" spans="1:14" ht="24" customHeight="1" ns3:dyDescent="0.3">
      <ns0:c r="A17" s="3">
        <ns0:v>46258</ns0:v>
      </ns0:c>
      <ns0:c r="B17" s="4"/>
      <ns0:c r="C17" s="13"/>
      <ns0:c r="D17" s="13"/>
      <ns0:c r="E17" s="13"/>
      <ns0:c r="F17" s="13"/>
      <ns0:c r="G17" s="13"/>
      <ns0:c r="H17" s="13"/>
      <ns0:c r="I17" s="5" t="str">
        <ns0:f t="shared" si="2"/>
        <ns0:v/>
      </ns0:c>
      <ns0:c r="J17" s="5" t="str">
        <ns0:f t="shared" si="3"/>
        <ns0:v/>
      </ns0:c>
      <ns0:c r="K17" s="4"/>
      <ns0:c r="L17" s="4"/>
      <ns0:c r="M17" s="4"/>
      <ns0:c r="N17" s="6"/>
    </ns0:row>
    <ns0:row r="18" spans="1:14" ht="24" customHeight="1" ns3:dyDescent="0.3">
      <ns0:c r="A18" s="3">
        <ns0:v>46259</ns0:v>
      </ns0:c>
      <ns0:c r="B18" s="4"/>
      <ns0:c r="C18" s="13"/>
      <ns0:c r="D18" s="13"/>
      <ns0:c r="E18" s="13"/>
      <ns0:c r="F18" s="13"/>
      <ns0:c r="G18" s="13"/>
      <ns0:c r="H18" s="13"/>
      <ns0:c r="I18" s="5" t="str">
        <ns0:f t="shared" si="2"/>
        <ns0:v/>
      </ns0:c>
      <ns0:c r="J18" s="5" t="str">
        <ns0:f t="shared" si="3"/>
        <ns0:v/>
      </ns0:c>
      <ns0:c r="K18" s="4"/>
      <ns0:c r="L18" s="4"/>
      <ns0:c r="M18" s="4"/>
      <ns0:c r="N18" s="6"/>
    </ns0:row>
    <ns0:row r="19" spans="1:14" ht="24" customHeight="1" ns3:dyDescent="0.3">
      <ns0:c r="A19" s="3">
        <ns0:v>46260</ns0:v>
      </ns0:c>
      <ns0:c r="B19" s="4"/>
      <ns0:c r="C19" s="13"/>
      <ns0:c r="D19" s="13"/>
      <ns0:c r="E19" s="13"/>
      <ns0:c r="F19" s="13"/>
      <ns0:c r="G19" s="13"/>
      <ns0:c r="H19" s="13"/>
      <ns0:c r="I19" s="5" t="str">
        <ns0:f t="shared" si="2"/>
        <ns0:v/>
      </ns0:c>
      <ns0:c r="J19" s="5" t="str">
        <ns0:f t="shared" si="3"/>
        <ns0:v/>
      </ns0:c>
      <ns0:c r="K19" s="4"/>
      <ns0:c r="L19" s="4"/>
      <ns0:c r="M19" s="4"/>
      <ns0:c r="N19" s="6"/>
    </ns0:row>
    <ns0:row r="20" spans="1:14" ht="24" customHeight="1" ns3:dyDescent="0.3">
      <ns0:c r="A20" s="3">
        <ns0:v>46261</ns0:v>
      </ns0:c>
      <ns0:c r="B20" s="4"/>
      <ns0:c r="C20" s="13"/>
      <ns0:c r="D20" s="13"/>
      <ns0:c r="E20" s="13"/>
      <ns0:c r="F20" s="13"/>
      <ns0:c r="G20" s="13"/>
      <ns0:c r="H20" s="13"/>
      <ns0:c r="I20" s="5" t="str">
        <ns0:f t="shared" si="2"/>
        <ns0:v/>
      </ns0:c>
      <ns0:c r="J20" s="5" t="str">
        <ns0:f t="shared" si="3"/>
        <ns0:v/>
      </ns0:c>
      <ns0:c r="K20" s="4"/>
      <ns0:c r="L20" s="4"/>
      <ns0:c r="M20" s="4"/>
      <ns0:c r="N20" s="6"/>
    </ns0:row>
    <ns0:row r="21" spans="1:14" ht="24" customHeight="1" ns3:dyDescent="0.3">
      <ns0:c r="A21" s="3">
        <ns0:v>46262</ns0:v>
      </ns0:c>
      <ns0:c r="B21" s="4"/>
      <ns0:c r="C21" s="13"/>
      <ns0:c r="D21" s="13"/>
      <ns0:c r="E21" s="13"/>
      <ns0:c r="F21" s="13"/>
      <ns0:c r="G21" s="13"/>
      <ns0:c r="H21" s="13"/>
      <ns0:c r="I21" s="5" t="str">
        <ns0:f t="shared" si="2"/>
        <ns0:v/>
      </ns0:c>
      <ns0:c r="J21" s="5" t="str">
        <ns0:f t="shared" si="3"/>
        <ns0:v/>
      </ns0:c>
      <ns0:c r="K21" s="4"/>
      <ns0:c r="L21" s="4"/>
      <ns0:c r="M21" s="4"/>
      <ns0:c r="N21" s="6"/>
    </ns0:row>
    <ns0:row r="22" spans="1:14" ht="24" customHeight="1" ns3:dyDescent="0.3">
      <ns0:c r="A22" s="3">
        <ns0:v>46263</ns0:v>
      </ns0:c>
      <ns0:c r="B22" s="4"/>
      <ns0:c r="C22" s="4"/>
      <ns0:c r="D22" s="4"/>
      <ns0:c r="E22" s="4"/>
      <ns0:c r="F22" s="4"/>
      <ns0:c r="G22" s="4"/>
      <ns0:c r="H22" s="4"/>
      <ns0:c r="I22" s="5" t="str">
        <ns0:f t="shared" si="2"/>
        <ns0:v/>
      </ns0:c>
      <ns0:c r="J22" s="5" t="str">
        <ns0:f t="shared" si="3"/>
        <ns0:v/>
      </ns0:c>
      <ns0:c r="K22" s="4"/>
      <ns0:c r="L22" s="4"/>
      <ns0:c r="M22" s="4"/>
      <ns0:c r="N22" s="6"/>
    </ns0:row>
    <ns0:row r="23" spans="1:14" ht="24" customHeight="1" ns3:dyDescent="0.3">
      <ns0:c r="A23" s="3">
        <ns0:v>46264</ns0:v>
      </ns0:c>
      <ns0:c r="B23" s="4"/>
      <ns0:c r="C23" s="13"/>
      <ns0:c r="D23" s="13"/>
      <ns0:c r="E23" s="13"/>
      <ns0:c r="F23" s="13"/>
      <ns0:c r="G23" s="13"/>
      <ns0:c r="H23" s="13"/>
      <ns0:c r="I23" s="5" t="str">
        <ns0:f t="shared" si="2"/>
        <ns0:v/>
      </ns0:c>
      <ns0:c r="J23" s="5" t="str">
        <ns0:f t="shared" si="3"/>
        <ns0:v/>
      </ns0:c>
      <ns0:c r="K23" s="4"/>
      <ns0:c r="L23" s="4"/>
      <ns0:c r="M23" s="4"/>
      <ns0:c r="N23" s="6"/>
    </ns0:row>
    <ns0:row r="24" spans="1:14" ht="24" customHeight="1" ns3:dyDescent="0.3">
      <ns0:c r="A24" s="3">
        <ns0:v>46265</ns0:v>
      </ns0:c>
      <ns0:c r="B24" s="4"/>
      <ns0:c r="C24" s="13"/>
      <ns0:c r="D24" s="13"/>
      <ns0:c r="E24" s="13"/>
      <ns0:c r="F24" s="13"/>
      <ns0:c r="G24" s="13"/>
      <ns0:c r="H24" s="13"/>
      <ns0:c r="I24" s="5" t="str">
        <ns0:f t="shared" si="2"/>
        <ns0:v/>
      </ns0:c>
      <ns0:c r="J24" s="5" t="str">
        <ns0:f t="shared" si="3"/>
        <ns0:v/>
      </ns0:c>
      <ns0:c r="K24" s="4"/>
      <ns0:c r="L24" s="4"/>
      <ns0:c r="M24" s="4"/>
      <ns0:c r="N24" s="6"/>
    </ns0:row>
    <ns0:row r="25" spans="1:14" ht="24" customHeight="1" ns3:dyDescent="0.3">
      <ns0:c r="A25" s="3">
        <ns0:v>46266</ns0:v>
      </ns0:c>
      <ns0:c r="B25" s="4"/>
      <ns0:c r="C25" s="13"/>
      <ns0:c r="D25" s="13"/>
      <ns0:c r="E25" s="13"/>
      <ns0:c r="F25" s="13"/>
      <ns0:c r="G25" s="13"/>
      <ns0:c r="H25" s="13"/>
      <ns0:c r="I25" s="5" t="str">
        <ns0:f t="shared" si="2"/>
        <ns0:v/>
      </ns0:c>
      <ns0:c r="J25" s="5" t="str">
        <ns0:f t="shared" si="3"/>
        <ns0:v/>
      </ns0:c>
      <ns0:c r="K25" s="4"/>
      <ns0:c r="L25" s="4"/>
      <ns0:c r="M25" s="4"/>
      <ns0:c r="N25" s="6"/>
    </ns0:row>
    <ns0:row r="26" spans="1:14" ht="24" customHeight="1" ns3:dyDescent="0.3">
      <ns0:c r="A26" s="3">
        <ns0:v>46267</ns0:v>
      </ns0:c>
      <ns0:c r="B26" s="4"/>
      <ns0:c r="C26" s="13"/>
      <ns0:c r="D26" s="13"/>
      <ns0:c r="E26" s="13"/>
      <ns0:c r="F26" s="13"/>
      <ns0:c r="G26" s="13"/>
      <ns0:c r="H26" s="13"/>
      <ns0:c r="I26" s="5" t="str">
        <ns0:f t="shared" si="2"/>
        <ns0:v/>
      </ns0:c>
      <ns0:c r="J26" s="5" t="str">
        <ns0:f t="shared" si="3"/>
        <ns0:v/>
      </ns0:c>
      <ns0:c r="K26" s="4"/>
      <ns0:c r="L26" s="4"/>
      <ns0:c r="M26" s="4"/>
      <ns0:c r="N26" s="6"/>
    </ns0:row>
    <ns0:row r="27" spans="1:14" ht="24" customHeight="1" ns3:dyDescent="0.3">
      <ns0:c r="A27" s="3">
        <ns0:v>46268</ns0:v>
      </ns0:c>
      <ns0:c r="B27" s="4"/>
      <ns0:c r="C27" s="13"/>
      <ns0:c r="D27" s="13"/>
      <ns0:c r="E27" s="13"/>
      <ns0:c r="F27" s="13"/>
      <ns0:c r="G27" s="13"/>
      <ns0:c r="H27" s="13"/>
      <ns0:c r="I27" s="5" t="str">
        <ns0:f t="shared" si="2"/>
        <ns0:v/>
      </ns0:c>
      <ns0:c r="J27" s="5" t="str">
        <ns0:f t="shared" si="3"/>
        <ns0:v/>
      </ns0:c>
      <ns0:c r="K27" s="4"/>
      <ns0:c r="L27" s="4"/>
      <ns0:c r="M27" s="4"/>
      <ns0:c r="N27" s="6"/>
    </ns0:row>
    <ns0:row r="28" spans="1:14" ht="24" customHeight="1" ns3:dyDescent="0.3">
      <ns0:c r="A28" s="3">
        <ns0:v>46269</ns0:v>
      </ns0:c>
      <ns0:c r="B28" s="4"/>
      <ns0:c r="C28" s="13"/>
      <ns0:c r="D28" s="13"/>
      <ns0:c r="E28" s="13"/>
      <ns0:c r="F28" s="13"/>
      <ns0:c r="G28" s="13"/>
      <ns0:c r="H28" s="13"/>
      <ns0:c r="I28" s="5" t="str">
        <ns0:f t="shared" si="2"/>
        <ns0:v/>
      </ns0:c>
      <ns0:c r="J28" s="5" t="str">
        <ns0:f t="shared" si="3"/>
        <ns0:v/>
      </ns0:c>
      <ns0:c r="K28" s="4"/>
      <ns0:c r="L28" s="4"/>
      <ns0:c r="M28" s="4"/>
      <ns0:c r="N28" s="6"/>
    </ns0:row>
    <ns0:row r="29" spans="1:14" ht="24" customHeight="1" ns3:dyDescent="0.3">
      <ns0:c r="A29" s="3">
        <ns0:v>46270</ns0:v>
      </ns0:c>
      <ns0:c r="B29" s="4"/>
      <ns0:c r="C29" s="13"/>
      <ns0:c r="D29" s="13"/>
      <ns0:c r="E29" s="13"/>
      <ns0:c r="F29" s="13"/>
      <ns0:c r="G29" s="13"/>
      <ns0:c r="H29" s="13"/>
      <ns0:c r="I29" s="5" t="str">
        <ns0:f t="shared" si="2"/>
        <ns0:v/>
      </ns0:c>
      <ns0:c r="J29" s="5" t="str">
        <ns0:f t="shared" si="3"/>
        <ns0:v/>
      </ns0:c>
      <ns0:c r="K29" s="4"/>
      <ns0:c r="L29" s="4"/>
      <ns0:c r="M29" s="4"/>
      <ns0:c r="N29" s="6"/>
    </ns0:row>
    <ns0:row r="30" spans="1:14" ht="24" customHeight="1" ns3:dyDescent="0.3">
      <ns0:c r="A30" s="3">
        <ns0:v>46271</ns0:v>
      </ns0:c>
      <ns0:c r="B30" s="4"/>
      <ns0:c r="C30" s="4"/>
      <ns0:c r="D30" s="4"/>
      <ns0:c r="E30" s="4"/>
      <ns0:c r="F30" s="4"/>
      <ns0:c r="G30" s="4"/>
      <ns0:c r="H30" s="4"/>
      <ns0:c r="I30" s="5" t="str">
        <ns0:f t="shared" si="2"/>
        <ns0:v/>
      </ns0:c>
      <ns0:c r="J30" s="5" t="str">
        <ns0:f t="shared" si="3"/>
        <ns0:v/>
      </ns0:c>
      <ns0:c r="K30" s="4"/>
      <ns0:c r="L30" s="4"/>
      <ns0:c r="M30" s="4"/>
      <ns0:c r="N30" s="6"/>
    </ns0:row>
    <ns0:row r="31" spans="1:14" ht="24" customHeight="1" ns3:dyDescent="0.3">
      <ns0:c r="A31" s="3">
        <ns0:v>46272</ns0:v>
      </ns0:c>
      <ns0:c r="B31" s="4"/>
      <ns0:c r="C31" s="13"/>
      <ns0:c r="D31" s="13"/>
      <ns0:c r="E31" s="13"/>
      <ns0:c r="F31" s="13"/>
      <ns0:c r="G31" s="13"/>
      <ns0:c r="H31" s="13"/>
      <ns0:c r="I31" s="5" t="str">
        <ns0:f t="shared" si="2"/>
        <ns0:v/>
      </ns0:c>
      <ns0:c r="J31" s="5" t="str">
        <ns0:f t="shared" si="3"/>
        <ns0:v/>
      </ns0:c>
      <ns0:c r="K31" s="4"/>
      <ns0:c r="L31" s="4"/>
      <ns0:c r="M31" s="4"/>
      <ns0:c r="N31" s="6"/>
    </ns0:row>
    <ns0:row r="32" spans="1:14" ht="24" customHeight="1" ns3:dyDescent="0.3">
      <ns0:c r="A32" s="3">
        <ns0:v>46273</ns0:v>
      </ns0:c>
      <ns0:c r="B32" s="4"/>
      <ns0:c r="C32" s="13"/>
      <ns0:c r="D32" s="13"/>
      <ns0:c r="E32" s="13"/>
      <ns0:c r="F32" s="13"/>
      <ns0:c r="G32" s="13"/>
      <ns0:c r="H32" s="13"/>
      <ns0:c r="I32" s="5" t="str">
        <ns0:f t="shared" si="2"/>
        <ns0:v/>
      </ns0:c>
      <ns0:c r="J32" s="5" t="str">
        <ns0:f t="shared" si="3"/>
        <ns0:v/>
      </ns0:c>
      <ns0:c r="K32" s="4"/>
      <ns0:c r="L32" s="4"/>
      <ns0:c r="M32" s="4"/>
      <ns0:c r="N32" s="6"/>
    </ns0:row>
    <ns0:row r="33" spans="1:14" ht="24" customHeight="1" ns3:dyDescent="0.3">
      <ns0:c r="A33" s="3">
        <ns0:v>46274</ns0:v>
      </ns0:c>
      <ns0:c r="B33" s="4"/>
      <ns0:c r="C33" s="13"/>
      <ns0:c r="D33" s="13"/>
      <ns0:c r="E33" s="13"/>
      <ns0:c r="F33" s="13"/>
      <ns0:c r="G33" s="13"/>
      <ns0:c r="H33" s="13"/>
      <ns0:c r="I33" s="5" t="str">
        <ns0:f t="shared" si="2"/>
        <ns0:v/>
      </ns0:c>
      <ns0:c r="J33" s="5" t="str">
        <ns0:f t="shared" si="3"/>
        <ns0:v/>
      </ns0:c>
      <ns0:c r="K33" s="4"/>
      <ns0:c r="L33" s="4"/>
      <ns0:c r="M33" s="4"/>
      <ns0:c r="N33" s="6"/>
    </ns0:row>
    <ns0:row r="34" spans="1:14" ht="24" customHeight="1" ns3:dyDescent="0.3">
      <ns0:c r="A34" s="3">
        <ns0:v>46275</ns0:v>
      </ns0:c>
      <ns0:c r="B34" s="4"/>
      <ns0:c r="C34" s="13"/>
      <ns0:c r="D34" s="13"/>
      <ns0:c r="E34" s="13"/>
      <ns0:c r="F34" s="13"/>
      <ns0:c r="G34" s="13"/>
      <ns0:c r="H34" s="13"/>
      <ns0:c r="I34" s="5" t="str">
        <ns0:f t="shared" si="2"/>
        <ns0:v/>
      </ns0:c>
      <ns0:c r="J34" s="5" t="str">
        <ns0:f t="shared" si="3"/>
        <ns0:v/>
      </ns0:c>
      <ns0:c r="K34" s="4"/>
      <ns0:c r="L34" s="4"/>
      <ns0:c r="M34" s="4"/>
      <ns0:c r="N34" s="6"/>
    </ns0:row>
    <ns0:row r="35" spans="1:14" ht="24" customHeight="1" ns3:dyDescent="0.3">
      <ns0:c r="A35" s="3">
        <ns0:v>46276</ns0:v>
      </ns0:c>
      <ns0:c r="B35" s="4"/>
      <ns0:c r="C35" s="13"/>
      <ns0:c r="D35" s="13"/>
      <ns0:c r="E35" s="13"/>
      <ns0:c r="F35" s="13"/>
      <ns0:c r="G35" s="13"/>
      <ns0:c r="H35" s="13"/>
      <ns0:c r="I35" s="5" t="str">
        <ns0:f t="shared" si="2"/>
        <ns0:v/>
      </ns0:c>
      <ns0:c r="J35" s="5" t="str">
        <ns0:f t="shared" si="3"/>
        <ns0:v/>
      </ns0:c>
      <ns0:c r="K35" s="4"/>
      <ns0:c r="L35" s="4"/>
      <ns0:c r="M35" s="4"/>
      <ns0:c r="N35" s="6"/>
    </ns0:row>
    <ns0:row r="36" spans="1:14" ht="24" customHeight="1" ns3:dyDescent="0.3">
      <ns0:c r="A36" s="3">
        <ns0:v>46277</ns0:v>
      </ns0:c>
      <ns0:c r="B36" s="4"/>
      <ns0:c r="C36" s="13"/>
      <ns0:c r="D36" s="13"/>
      <ns0:c r="E36" s="13"/>
      <ns0:c r="F36" s="13"/>
      <ns0:c r="G36" s="13"/>
      <ns0:c r="H36" s="13"/>
      <ns0:c r="I36" s="5" t="str">
        <ns0:f t="shared" si="2"/>
        <ns0:v/>
      </ns0:c>
      <ns0:c r="J36" s="5" t="str">
        <ns0:f t="shared" si="3"/>
        <ns0:v/>
      </ns0:c>
      <ns0:c r="K36" s="4"/>
      <ns0:c r="L36" s="4"/>
      <ns0:c r="M36" s="4"/>
      <ns0:c r="N36" s="6"/>
    </ns0:row>
    <ns0:row r="37" spans="1:14" ht="24" customHeight="1" ns3:dyDescent="0.3">
      <ns0:c r="A37" s="3">
        <ns0:v>46278</ns0:v>
      </ns0:c>
      <ns0:c r="B37" s="4"/>
      <ns0:c r="C37" s="13"/>
      <ns0:c r="D37" s="13"/>
      <ns0:c r="E37" s="13"/>
      <ns0:c r="F37" s="13"/>
      <ns0:c r="G37" s="13"/>
      <ns0:c r="H37" s="13"/>
      <ns0:c r="I37" s="5" t="str">
        <ns0:f t="shared" si="2"/>
        <ns0:v/>
      </ns0:c>
      <ns0:c r="J37" s="5" t="str">
        <ns0:f t="shared" si="3"/>
        <ns0:v/>
      </ns0:c>
      <ns0:c r="K37" s="4"/>
      <ns0:c r="L37" s="4"/>
      <ns0:c r="M37" s="4"/>
      <ns0:c r="N37" s="6"/>
    </ns0:row>
    <ns0:row r="38" spans="1:14" ht="24" customHeight="1" ns3:dyDescent="0.3">
      <ns0:c r="A38" s="3">
        <ns0:v>46279</ns0:v>
      </ns0:c>
      <ns0:c r="B38" s="4"/>
      <ns0:c r="C38" s="4"/>
      <ns0:c r="D38" s="4"/>
      <ns0:c r="E38" s="4"/>
      <ns0:c r="F38" s="4"/>
      <ns0:c r="G38" s="4"/>
      <ns0:c r="H38" s="4"/>
      <ns0:c r="I38" s="5" t="str">
        <ns0:f t="shared" si="2"/>
        <ns0:v/>
      </ns0:c>
      <ns0:c r="J38" s="5" t="str">
        <ns0:f t="shared" si="3"/>
        <ns0:v/>
      </ns0:c>
      <ns0:c r="K38" s="4"/>
      <ns0:c r="L38" s="4"/>
      <ns0:c r="M38" s="4"/>
      <ns0:c r="N38" s="6"/>
    </ns0:row>
    <ns0:row r="39" spans="1:14" ht="24" customHeight="1" ns3:dyDescent="0.3">
      <ns0:c r="A39" s="3">
        <ns0:v>46280</ns0:v>
      </ns0:c>
      <ns0:c r="B39" s="4"/>
      <ns0:c r="C39" s="13"/>
      <ns0:c r="D39" s="13"/>
      <ns0:c r="E39" s="13"/>
      <ns0:c r="F39" s="13"/>
      <ns0:c r="G39" s="13"/>
      <ns0:c r="H39" s="13"/>
      <ns0:c r="I39" s="5" t="str">
        <ns0:f t="shared" si="2"/>
        <ns0:v/>
      </ns0:c>
      <ns0:c r="J39" s="5" t="str">
        <ns0:f t="shared" si="3"/>
        <ns0:v/>
      </ns0:c>
      <ns0:c r="K39" s="4"/>
      <ns0:c r="L39" s="4"/>
      <ns0:c r="M39" s="4"/>
      <ns0:c r="N39" s="6"/>
    </ns0:row>
    <ns0:row r="40" spans="1:14" ht="24" customHeight="1" ns3:dyDescent="0.3">
      <ns0:c r="A40" s="3">
        <ns0:v>46281</ns0:v>
      </ns0:c>
      <ns0:c r="B40" s="4"/>
      <ns0:c r="C40" s="13"/>
      <ns0:c r="D40" s="13"/>
      <ns0:c r="E40" s="13"/>
      <ns0:c r="F40" s="13"/>
      <ns0:c r="G40" s="13"/>
      <ns0:c r="H40" s="13"/>
      <ns0:c r="I40" s="5" t="str">
        <ns0:f t="shared" si="2"/>
        <ns0:v/>
      </ns0:c>
      <ns0:c r="J40" s="5" t="str">
        <ns0:f t="shared" si="3"/>
        <ns0:v/>
      </ns0:c>
      <ns0:c r="K40" s="4"/>
      <ns0:c r="L40" s="4"/>
      <ns0:c r="M40" s="4"/>
      <ns0:c r="N40" s="6"/>
    </ns0:row>
    <ns0:row r="41" spans="1:14" ht="24" customHeight="1" ns3:dyDescent="0.3">
      <ns0:c r="A41" s="3">
        <ns0:v>46282</ns0:v>
      </ns0:c>
      <ns0:c r="B41" s="4"/>
      <ns0:c r="C41" s="13"/>
      <ns0:c r="D41" s="13"/>
      <ns0:c r="E41" s="13"/>
      <ns0:c r="F41" s="13"/>
      <ns0:c r="G41" s="13"/>
      <ns0:c r="H41" s="13"/>
      <ns0:c r="I41" s="5" t="str">
        <ns0:f t="shared" si="2"/>
        <ns0:v/>
      </ns0:c>
      <ns0:c r="J41" s="5" t="str">
        <ns0:f t="shared" si="3"/>
        <ns0:v/>
      </ns0:c>
      <ns0:c r="K41" s="4"/>
      <ns0:c r="L41" s="4"/>
      <ns0:c r="M41" s="4"/>
      <ns0:c r="N41" s="6"/>
    </ns0:row>
    <ns0:row r="42" spans="1:14" ht="24" customHeight="1" ns3:dyDescent="0.3">
      <ns0:c r="A42" s="3">
        <ns0:v>46283</ns0:v>
      </ns0:c>
      <ns0:c r="B42" s="4"/>
      <ns0:c r="C42" s="13"/>
      <ns0:c r="D42" s="13"/>
      <ns0:c r="E42" s="13"/>
      <ns0:c r="F42" s="13"/>
      <ns0:c r="G42" s="13"/>
      <ns0:c r="H42" s="13"/>
      <ns0:c r="I42" s="5" t="str">
        <ns0:f t="shared" si="2"/>
        <ns0:v/>
      </ns0:c>
      <ns0:c r="J42" s="5" t="str">
        <ns0:f t="shared" si="3"/>
        <ns0:v/>
      </ns0:c>
      <ns0:c r="K42" s="4"/>
      <ns0:c r="L42" s="4"/>
      <ns0:c r="M42" s="4"/>
      <ns0:c r="N42" s="6"/>
    </ns0:row>
    <ns0:row r="43" spans="1:14" ht="24" customHeight="1" ns3:dyDescent="0.3">
      <ns0:c r="A43" s="3">
        <ns0:v>46284</ns0:v>
      </ns0:c>
      <ns0:c r="B43" s="4"/>
      <ns0:c r="C43" s="13"/>
      <ns0:c r="D43" s="13"/>
      <ns0:c r="E43" s="13"/>
      <ns0:c r="F43" s="13"/>
      <ns0:c r="G43" s="13"/>
      <ns0:c r="H43" s="13"/>
      <ns0:c r="I43" s="5" t="str">
        <ns0:f t="shared" si="2"/>
        <ns0:v/>
      </ns0:c>
      <ns0:c r="J43" s="5" t="str">
        <ns0:f t="shared" si="3"/>
        <ns0:v/>
      </ns0:c>
      <ns0:c r="K43" s="4"/>
      <ns0:c r="L43" s="4"/>
      <ns0:c r="M43" s="4"/>
      <ns0:c r="N43" s="6"/>
    </ns0:row>
    <ns0:row r="44" spans="1:14" ht="24" customHeight="1" ns3:dyDescent="0.3">
      <ns0:c r="A44" s="3">
        <ns0:v>46285</ns0:v>
      </ns0:c>
      <ns0:c r="B44" s="4"/>
      <ns0:c r="C44" s="13"/>
      <ns0:c r="D44" s="13"/>
      <ns0:c r="E44" s="13"/>
      <ns0:c r="F44" s="13"/>
      <ns0:c r="G44" s="13"/>
      <ns0:c r="H44" s="13"/>
      <ns0:c r="I44" s="5" t="str">
        <ns0:f t="shared" si="2"/>
        <ns0:v/>
      </ns0:c>
      <ns0:c r="J44" s="5" t="str">
        <ns0:f t="shared" si="3"/>
        <ns0:v/>
      </ns0:c>
      <ns0:c r="K44" s="4"/>
      <ns0:c r="L44" s="4"/>
      <ns0:c r="M44" s="4"/>
      <ns0:c r="N44" s="6"/>
    </ns0:row>
    <ns0:row r="45" spans="1:14" ht="24" customHeight="1" ns3:dyDescent="0.3">
      <ns0:c r="A45" s="3">
        <ns0:v>46286</ns0:v>
      </ns0:c>
      <ns0:c r="B45" s="4"/>
      <ns0:c r="C45" s="13"/>
      <ns0:c r="D45" s="13"/>
      <ns0:c r="E45" s="13"/>
      <ns0:c r="F45" s="13"/>
      <ns0:c r="G45" s="13"/>
      <ns0:c r="H45" s="13"/>
      <ns0:c r="I45" s="5" t="str">
        <ns0:f t="shared" si="2"/>
        <ns0:v/>
      </ns0:c>
      <ns0:c r="J45" s="5" t="str">
        <ns0:f t="shared" si="3"/>
        <ns0:v/>
      </ns0:c>
      <ns0:c r="K45" s="4"/>
      <ns0:c r="L45" s="4"/>
      <ns0:c r="M45" s="4"/>
      <ns0:c r="N45" s="6"/>
    </ns0:row>
  </ns0:sheetData>
  <ns0:mergeCells count="1">
    <ns0:mergeCell ref="A1:N1"/>
  </ns0:mergeCells>
  <ns0:conditionalFormatting sqref="I6:J45">
    <ns0:cfRule type="expression" dxfId="0" priority="3">
      <ns0:formula>AND(ISNUMBER($I6),$I6&gt;1440)</ns0:formula>
    </ns0:cfRule>
  </ns0:conditionalFormatting>
  <ns0:dataValidations count="2">
    <ns0:dataValidation type="whole" allowBlank="1" showErrorMessage="1" errorTitle="Invalid minutes" error="Enter whole minutes between 0 and 1440." sqref="B6:F6 H6" ns2:uid="{00000000-0002-0000-0000-000000000000}">
      <ns0:formula1>0</ns0:formula1>
      <ns0:formula2>1440</ns0:formula2>
    </ns0:dataValidation>
    <ns0:dataValidation type="whole" allowBlank="1" showErrorMessage="1" errorTitle="Invalid count" error="Enter a whole number of classes (0-20)." sqref="G6" ns2:uid="{00000000-0002-0000-0000-000001000000}">
      <ns0:formula1>0</ns0:formula1>
      <ns0:formula2>20</ns0:formula2>
    </ns0:dataValidation>
  </ns0:dataValidations>
  <ns0:pageMargins left="0.75" right="0.75" top="1" bottom="1" header="0.511811023622047" footer="0.511811023622047"/>
  <ns0:pageSetup paperSize="9" orientation="portrait" horizontalDpi="300" verticalDpi="300"/>
  <ns0:legacyDrawing ns4:id="rId1"/>
  <ns0:extLst>
    <ns0:ext uri="{CCE6A557-97BC-4b89-ADB6-D9C93CAAB3DF}">
      <ns5:dataValidations count="3">
        <ns5:dataValidation type="list" allowBlank="1" showErrorMessage="1" errorTitle="Pick from list" error="Choose a value from the dropdown." ns2:uid="{00000000-0002-0000-0000-000002000000}">
          <ns5:formula1>
            <ns6:f>Lists!$A$4:$A$8</ns6:f>
          </ns5:formula1>
          <ns5:formula2>
            <ns6:f>0</ns6:f>
          </ns5:formula2>
          <ns6:sqref>K6:K45</ns6:sqref>
        </ns5:dataValidation>
        <ns5:dataValidation type="list" allowBlank="1" showErrorMessage="1" errorTitle="Pick from list" error="Choose a value from the dropdown." ns2:uid="{00000000-0002-0000-0000-000003000000}">
          <ns5:formula1>
            <ns6:f>Lists!$D$4:$D$8</ns6:f>
          </ns5:formula1>
          <ns5:formula2>
            <ns6:f>0</ns6:f>
          </ns5:formula2>
          <ns6:sqref>L6:L45</ns6:sqref>
        </ns5:dataValidation>
        <ns5:dataValidation type="list" allowBlank="1" showErrorMessage="1" errorTitle="Pick from list" error="Choose a value from the dropdown." ns2:uid="{00000000-0002-0000-0000-000004000000}">
          <ns5:formula1>
            <ns6:f>Lists!$G$4:$G$6</ns6:f>
          </ns5:formula1>
          <ns5:formula2>
            <ns6:f>0</ns6:f>
          </ns5:formula2>
          <ns6:sqref>M6:M45</ns6:sqref>
        </ns5:dataValidation>
      </ns5:dataValidations>
    </ns0:ext>
  </ns0:extLst>
</ns0: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H8"/>
  <sheetViews>
    <sheetView zoomScaleNormal="100" workbookViewId="0">
      <selection activeCell="G16" sqref="G16"/>
    </sheetView>
  </sheetViews>
  <sheetFormatPr defaultColWidth="8.6640625" defaultRowHeight="14.4" x14ac:dyDescent="0.3"/>
  <cols>
    <col min="1" max="1" width="20" customWidth="1"/>
    <col min="4" max="4" width="20" customWidth="1"/>
    <col min="7" max="7" width="20" customWidth="1"/>
  </cols>
  <sheetData>
    <row r="1" spans="1:8" x14ac:dyDescent="0.3">
      <c r="A1" s="1"/>
    </row>
    <row r="3" spans="1:8" x14ac:dyDescent="0.3">
      <c r="A3" s="7" t="s">
        <v>19</v>
      </c>
      <c r="B3" s="7" t="s">
        <v>20</v>
      </c>
      <c r="D3" s="7" t="s">
        <v>21</v>
      </c>
      <c r="E3" s="7" t="s">
        <v>20</v>
      </c>
      <c r="G3" s="7" t="s">
        <v>22</v>
      </c>
      <c r="H3" s="7" t="s">
        <v>20</v>
      </c>
    </row>
    <row r="4" spans="1:8" x14ac:dyDescent="0.3">
      <c r="A4" s="8" t="s">
        <v>23</v>
      </c>
      <c r="B4" s="8">
        <v>5</v>
      </c>
      <c r="D4" s="8" t="s">
        <v>24</v>
      </c>
      <c r="E4" s="8">
        <v>5</v>
      </c>
      <c r="G4" s="8" t="s">
        <v>25</v>
      </c>
      <c r="H4" s="8">
        <v>3</v>
      </c>
    </row>
    <row r="5" spans="1:8" x14ac:dyDescent="0.3">
      <c r="A5" s="8" t="s">
        <v>26</v>
      </c>
      <c r="B5" s="8">
        <v>4</v>
      </c>
      <c r="D5" s="8" t="s">
        <v>27</v>
      </c>
      <c r="E5" s="8">
        <v>4</v>
      </c>
      <c r="G5" s="8" t="s">
        <v>28</v>
      </c>
      <c r="H5" s="8">
        <v>2</v>
      </c>
    </row>
    <row r="6" spans="1:8" x14ac:dyDescent="0.3">
      <c r="A6" s="8" t="s">
        <v>29</v>
      </c>
      <c r="B6" s="8">
        <v>3</v>
      </c>
      <c r="D6" s="8" t="s">
        <v>30</v>
      </c>
      <c r="E6" s="8">
        <v>3</v>
      </c>
      <c r="G6" s="8" t="s">
        <v>31</v>
      </c>
      <c r="H6" s="8">
        <v>1</v>
      </c>
    </row>
    <row r="7" spans="1:8" x14ac:dyDescent="0.3">
      <c r="A7" s="8" t="s">
        <v>31</v>
      </c>
      <c r="B7" s="8">
        <v>2</v>
      </c>
      <c r="D7" s="8" t="s">
        <v>32</v>
      </c>
      <c r="E7" s="8">
        <v>2</v>
      </c>
    </row>
    <row r="8" spans="1:8" x14ac:dyDescent="0.3">
      <c r="A8" s="8" t="s">
        <v>33</v>
      </c>
      <c r="B8" s="8">
        <v>1</v>
      </c>
      <c r="D8" s="8" t="s">
        <v>34</v>
      </c>
      <c r="E8" s="8">
        <v>1</v>
      </c>
    </row>
  </sheetData>
  <pageMargins left="0.75" right="0.75" top="1" bottom="1" header="0.511811023622047" footer="0.511811023622047"/>
  <pageSetup paperSize="9" orientation="portrait" horizontalDpi="300" verticalDpi="300"/>
</worksheet>
</file>

<file path=docProps/app.xml><?xml version="1.0" encoding="utf-8"?>
<Properties xmlns="http://schemas.openxmlformats.org/officeDocument/2006/extended-properties" xmlns:vt="http://schemas.openxmlformats.org/officeDocument/2006/docPropsVTypes">
  <Template/>
  <TotalTime>0</TotalTime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Activity Log</vt:lpstr>
      <vt:lpstr>Lists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dc:description/>
  <cp:lastModifiedBy>Praveen Yadav</cp:lastModifiedBy>
  <cp:revision>0</cp:revision>
  <dcterms:created xsi:type="dcterms:W3CDTF">2026-09-21T10:42:00Z</dcterms:created>
  <dcterms:modified xsi:type="dcterms:W3CDTF">2026-09-22T13:33:20Z</dcterms:modified>
  <dc:language>en-US</dc:language>
</cp:coreProperties>
</file>